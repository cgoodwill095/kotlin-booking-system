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odw\Documents\ProgrammingProjects\Kotlin\SportsBookingSystem\docs\"/>
    </mc:Choice>
  </mc:AlternateContent>
  <xr:revisionPtr revIDLastSave="0" documentId="13_ncr:1_{F6D65604-C69A-4754-A5BA-26E41D7EA2A3}" xr6:coauthVersionLast="47" xr6:coauthVersionMax="47" xr10:uidLastSave="{00000000-0000-0000-0000-000000000000}"/>
  <bookViews>
    <workbookView xWindow="-110" yWindow="-110" windowWidth="19420" windowHeight="10300" xr2:uid="{94035D86-8D72-4248-B4A8-2951B182F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  <c r="I108" i="1"/>
  <c r="I109" i="1"/>
  <c r="I110" i="1"/>
  <c r="I111" i="1"/>
  <c r="I112" i="1"/>
  <c r="I113" i="1"/>
  <c r="I114" i="1"/>
  <c r="I115" i="1"/>
  <c r="I106" i="1"/>
  <c r="I92" i="1"/>
  <c r="I93" i="1"/>
  <c r="I94" i="1"/>
  <c r="I95" i="1"/>
  <c r="I96" i="1"/>
  <c r="I97" i="1"/>
  <c r="I98" i="1"/>
  <c r="I99" i="1"/>
  <c r="I100" i="1"/>
  <c r="I101" i="1"/>
  <c r="I102" i="1"/>
  <c r="I103" i="1"/>
  <c r="I91" i="1"/>
  <c r="I47" i="1"/>
  <c r="I48" i="1"/>
  <c r="I49" i="1"/>
  <c r="I50" i="1"/>
  <c r="I51" i="1"/>
  <c r="I52" i="1"/>
  <c r="I53" i="1"/>
  <c r="I54" i="1"/>
  <c r="I55" i="1"/>
  <c r="I56" i="1"/>
  <c r="I57" i="1"/>
  <c r="I58" i="1"/>
  <c r="I46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32" i="1"/>
  <c r="I33" i="1"/>
  <c r="I34" i="1"/>
  <c r="I35" i="1"/>
  <c r="I36" i="1"/>
  <c r="I37" i="1"/>
  <c r="I38" i="1"/>
  <c r="I39" i="1"/>
  <c r="I40" i="1"/>
  <c r="I41" i="1"/>
  <c r="I42" i="1"/>
  <c r="I43" i="1"/>
  <c r="I31" i="1"/>
  <c r="I77" i="1"/>
  <c r="I78" i="1"/>
  <c r="I79" i="1"/>
  <c r="I80" i="1"/>
  <c r="I81" i="1"/>
  <c r="I82" i="1"/>
  <c r="I83" i="1"/>
  <c r="I84" i="1"/>
  <c r="I85" i="1"/>
  <c r="I86" i="1"/>
  <c r="I87" i="1"/>
  <c r="I88" i="1"/>
  <c r="I76" i="1"/>
  <c r="I17" i="1"/>
  <c r="I18" i="1"/>
  <c r="I19" i="1"/>
  <c r="I20" i="1"/>
  <c r="I21" i="1"/>
  <c r="I22" i="1"/>
  <c r="I23" i="1"/>
  <c r="I24" i="1"/>
  <c r="I25" i="1"/>
  <c r="I26" i="1"/>
  <c r="I27" i="1"/>
  <c r="I16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<sst xmlns="http://schemas.openxmlformats.org/spreadsheetml/2006/main" count="251" uniqueCount="105">
  <si>
    <t>id</t>
  </si>
  <si>
    <t>UserEntity</t>
  </si>
  <si>
    <t>PlayerEntity</t>
  </si>
  <si>
    <t>MatchEntity</t>
  </si>
  <si>
    <t>TeamEntity</t>
  </si>
  <si>
    <t>LocationEntity</t>
  </si>
  <si>
    <t>PlayerTeamLinkEntity</t>
  </si>
  <si>
    <t>PlayerMatchLinkEntity</t>
  </si>
  <si>
    <t>TeamMatchLinkEntity</t>
  </si>
  <si>
    <t>user_id</t>
  </si>
  <si>
    <t>username</t>
  </si>
  <si>
    <t>password</t>
  </si>
  <si>
    <t>name</t>
  </si>
  <si>
    <t>status</t>
  </si>
  <si>
    <t>location_id</t>
  </si>
  <si>
    <t>description</t>
  </si>
  <si>
    <t>organisation_id</t>
  </si>
  <si>
    <t>private_description</t>
  </si>
  <si>
    <t>creator_id</t>
  </si>
  <si>
    <t>active</t>
  </si>
  <si>
    <t>home_ground</t>
  </si>
  <si>
    <t>type</t>
  </si>
  <si>
    <t>connor</t>
  </si>
  <si>
    <t>admin</t>
  </si>
  <si>
    <t>$2a$10$RqTUVFPAPDsLEYq1otSUA.3aCi35Aqr9j9u8joIqoeiv.fEX4j5ba</t>
  </si>
  <si>
    <t>adminPlayer</t>
  </si>
  <si>
    <t>Local match to join</t>
  </si>
  <si>
    <t>scheduled</t>
  </si>
  <si>
    <t>to join, message xyxyxy</t>
  </si>
  <si>
    <t>team1</t>
  </si>
  <si>
    <t>testTeam</t>
  </si>
  <si>
    <t>fixed</t>
  </si>
  <si>
    <t>team2</t>
  </si>
  <si>
    <t>dropin</t>
  </si>
  <si>
    <t>https://maps.app.goo.gl/Lu9bUBy9yGYDFZmH6</t>
  </si>
  <si>
    <t>LocalField2</t>
  </si>
  <si>
    <t>inactive</t>
  </si>
  <si>
    <t>cancelled</t>
  </si>
  <si>
    <t>point_value</t>
  </si>
  <si>
    <t>maps_link</t>
  </si>
  <si>
    <t>player_id</t>
  </si>
  <si>
    <t>team_id</t>
  </si>
  <si>
    <t>match_id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</si>
  <si>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</si>
  <si>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</si>
  <si>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</si>
  <si>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</si>
  <si>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</si>
  <si>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</si>
  <si>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</si>
  <si>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</si>
  <si>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</si>
  <si>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</si>
  <si>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testPlayer1</t>
  </si>
  <si>
    <t>testPlayer2</t>
  </si>
  <si>
    <t>testPlayer3</t>
  </si>
  <si>
    <t>testPlayer4</t>
  </si>
  <si>
    <t>testPlayer5</t>
  </si>
  <si>
    <t>testPlayer6</t>
  </si>
  <si>
    <t>testPlayer7</t>
  </si>
  <si>
    <t>testPlayer8</t>
  </si>
  <si>
    <t>testPlayer9</t>
  </si>
  <si>
    <t>testPlayer10</t>
  </si>
  <si>
    <t>testPlayer11</t>
  </si>
  <si>
    <t>banned</t>
  </si>
  <si>
    <t>deleted</t>
  </si>
  <si>
    <t>testMatch1</t>
  </si>
  <si>
    <t>testMatch2</t>
  </si>
  <si>
    <t>testMatch3</t>
  </si>
  <si>
    <t>testMatch4</t>
  </si>
  <si>
    <t>testMatch5</t>
  </si>
  <si>
    <t>testMatch6</t>
  </si>
  <si>
    <t>testMatch7</t>
  </si>
  <si>
    <t>testMatch8</t>
  </si>
  <si>
    <t>testMatch9</t>
  </si>
  <si>
    <t>testMatch10</t>
  </si>
  <si>
    <t>testMatch11</t>
  </si>
  <si>
    <t>completed</t>
  </si>
  <si>
    <t>team3</t>
  </si>
  <si>
    <t>team4</t>
  </si>
  <si>
    <t>team5</t>
  </si>
  <si>
    <t>team6</t>
  </si>
  <si>
    <t>team7</t>
  </si>
  <si>
    <t>team8</t>
  </si>
  <si>
    <t>team9</t>
  </si>
  <si>
    <t>team10</t>
  </si>
  <si>
    <t>team11</t>
  </si>
  <si>
    <t>team12</t>
  </si>
  <si>
    <t>team13</t>
  </si>
  <si>
    <t>open</t>
  </si>
  <si>
    <t>LocalField3</t>
  </si>
  <si>
    <t>LocalField4</t>
  </si>
  <si>
    <t>LocalField5</t>
  </si>
  <si>
    <t>LocalField6</t>
  </si>
  <si>
    <t>LocalField7</t>
  </si>
  <si>
    <t>LocalField1</t>
  </si>
  <si>
    <t>LocalField8</t>
  </si>
  <si>
    <t>LocalField9</t>
  </si>
  <si>
    <t>LocalField10</t>
  </si>
  <si>
    <t>LocalField11</t>
  </si>
  <si>
    <t>LocalField12</t>
  </si>
  <si>
    <t>LocalField13</t>
  </si>
  <si>
    <t>SQL:</t>
  </si>
  <si>
    <t>Database name:</t>
  </si>
  <si>
    <t>mydb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</si>
</sst>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C792-4C71-4F1C-8E4B-40636A0E376E}">
  <dimension ref="A1:I116"/>
  <sheetViews>
    <sheetView tabSelected="1" topLeftCell="E100" workbookViewId="0">
      <selection activeCell="I2" sqref="I2:I115"/>
    </sheetView>
  </sheetViews>
  <sheetFormatPr defaultRowHeight="14.5" x14ac:dyDescent="0.35"/>
  <cols>
    <col min="1" max="24" width="15.6328125" customWidth="1"/>
  </cols>
  <sheetData>
    <row r="1" spans="1:9" x14ac:dyDescent="0.35">
      <c r="A1" t="s">
        <v>1</v>
      </c>
      <c r="H1" t="s">
        <v>103</v>
      </c>
      <c r="I1" t="s">
        <v>104</v>
      </c>
    </row>
    <row r="2" spans="1:9" x14ac:dyDescent="0.35">
      <c r="A2" t="s">
        <v>0</v>
      </c>
      <c r="B2" t="s">
        <v>10</v>
      </c>
      <c r="C2" t="s">
        <v>11</v>
      </c>
      <c r="H2" t="s">
        <v>102</v>
      </c>
      <c r="I2" t="str">
        <f>"INSERT INTO "&amp;$I$1&amp;"."&amp;$A$1&amp;" ("&amp;$A$2&amp;", "&amp;$B$2&amp;", "&amp;$C$2&amp;") VALUES ("&amp;A3&amp;", '"&amp;B3&amp;"', '"&amp;C3&amp;"');"</f>
        <v>INSERT INTO mydb.UserEntity (id, username, password) VALUES (1, 'connor', '$2a$10$RqTUVFPAPDsLEYq1otSUA.3aCi35Aqr9j9u8joIqoeiv.fEX4j5ba');</v>
      </c>
    </row>
    <row r="3" spans="1:9" x14ac:dyDescent="0.35">
      <c r="A3">
        <v>1</v>
      </c>
      <c r="B3" t="s">
        <v>22</v>
      </c>
      <c r="C3" t="s">
        <v>24</v>
      </c>
      <c r="I3" t="str">
        <f t="shared" ref="I3:I13" si="0">"INSERT INTO "&amp;$I$1&amp;"."&amp;$A$1&amp;" ("&amp;$A$2&amp;", "&amp;$B$2&amp;", "&amp;$C$2&amp;") VALUES ("&amp;A4&amp;", '"&amp;B4&amp;"', '"&amp;C4&amp;"');"</f>
        <v>INSERT INTO mydb.UserEntity (id, username, password) VALUES (2, 'admin', '$2a$10$RqTUVFPAPDsLEYq1otSUA.3aCi35Aqr9j9u8joIqoeiv.fEX4j5ba');</v>
      </c>
    </row>
    <row r="4" spans="1:9" x14ac:dyDescent="0.35">
      <c r="A4">
        <v>2</v>
      </c>
      <c r="B4" t="s">
        <v>23</v>
      </c>
      <c r="C4" t="s">
        <v>24</v>
      </c>
      <c r="I4" t="str">
        <f t="shared" si="0"/>
        <v>INSERT INTO mydb.UserEntity (id, username, password) VALUES (3, 'test1', '$2a$10$RqTUVFPAPDsLEYq1otSUA.3aCi35Aqr9j9u8joIqoeiv.fEX4j5ba');</v>
      </c>
    </row>
    <row r="5" spans="1:9" x14ac:dyDescent="0.35">
      <c r="A5">
        <v>3</v>
      </c>
      <c r="B5" t="s">
        <v>43</v>
      </c>
      <c r="C5" t="s">
        <v>24</v>
      </c>
      <c r="I5" t="str">
        <f t="shared" si="0"/>
        <v>INSERT INTO mydb.UserEntity (id, username, password) VALUES (4, 'test2', '$2a$10$RqTUVFPAPDsLEYq1otSUA.3aCi35Aqr9j9u8joIqoeiv.fEX4j5ba');</v>
      </c>
    </row>
    <row r="6" spans="1:9" x14ac:dyDescent="0.35">
      <c r="A6">
        <v>4</v>
      </c>
      <c r="B6" t="s">
        <v>44</v>
      </c>
      <c r="C6" t="s">
        <v>24</v>
      </c>
      <c r="I6" t="str">
        <f t="shared" si="0"/>
        <v>INSERT INTO mydb.UserEntity (id, username, password) VALUES (5, 'test3', '$2a$10$RqTUVFPAPDsLEYq1otSUA.3aCi35Aqr9j9u8joIqoeiv.fEX4j5ba');</v>
      </c>
    </row>
    <row r="7" spans="1:9" x14ac:dyDescent="0.35">
      <c r="A7">
        <v>5</v>
      </c>
      <c r="B7" t="s">
        <v>45</v>
      </c>
      <c r="C7" t="s">
        <v>24</v>
      </c>
      <c r="I7" t="str">
        <f t="shared" si="0"/>
        <v>INSERT INTO mydb.UserEntity (id, username, password) VALUES (6, 'test4', '$2a$10$RqTUVFPAPDsLEYq1otSUA.3aCi35Aqr9j9u8joIqoeiv.fEX4j5ba');</v>
      </c>
    </row>
    <row r="8" spans="1:9" x14ac:dyDescent="0.35">
      <c r="A8">
        <v>6</v>
      </c>
      <c r="B8" t="s">
        <v>46</v>
      </c>
      <c r="C8" t="s">
        <v>24</v>
      </c>
      <c r="I8" t="str">
        <f t="shared" si="0"/>
        <v>INSERT INTO mydb.UserEntity (id, username, password) VALUES (7, 'test5', '$2a$10$RqTUVFPAPDsLEYq1otSUA.3aCi35Aqr9j9u8joIqoeiv.fEX4j5ba');</v>
      </c>
    </row>
    <row r="9" spans="1:9" x14ac:dyDescent="0.35">
      <c r="A9">
        <v>7</v>
      </c>
      <c r="B9" t="s">
        <v>47</v>
      </c>
      <c r="C9" t="s">
        <v>24</v>
      </c>
      <c r="I9" t="str">
        <f t="shared" si="0"/>
        <v>INSERT INTO mydb.UserEntity (id, username, password) VALUES (8, 'test6', '$2a$10$RqTUVFPAPDsLEYq1otSUA.3aCi35Aqr9j9u8joIqoeiv.fEX4j5ba');</v>
      </c>
    </row>
    <row r="10" spans="1:9" x14ac:dyDescent="0.35">
      <c r="A10">
        <v>8</v>
      </c>
      <c r="B10" t="s">
        <v>48</v>
      </c>
      <c r="C10" t="s">
        <v>24</v>
      </c>
      <c r="I10" t="str">
        <f t="shared" si="0"/>
        <v>INSERT INTO mydb.UserEntity (id, username, password) VALUES (9, 'test7', '$2a$10$RqTUVFPAPDsLEYq1otSUA.3aCi35Aqr9j9u8joIqoeiv.fEX4j5ba');</v>
      </c>
    </row>
    <row r="11" spans="1:9" x14ac:dyDescent="0.35">
      <c r="A11">
        <v>9</v>
      </c>
      <c r="B11" t="s">
        <v>49</v>
      </c>
      <c r="C11" t="s">
        <v>24</v>
      </c>
      <c r="I11" t="str">
        <f t="shared" si="0"/>
        <v>INSERT INTO mydb.UserEntity (id, username, password) VALUES (10, 'test8', '$2a$10$RqTUVFPAPDsLEYq1otSUA.3aCi35Aqr9j9u8joIqoeiv.fEX4j5ba');</v>
      </c>
    </row>
    <row r="12" spans="1:9" x14ac:dyDescent="0.35">
      <c r="A12">
        <v>10</v>
      </c>
      <c r="B12" t="s">
        <v>50</v>
      </c>
      <c r="C12" t="s">
        <v>24</v>
      </c>
      <c r="I12" t="str">
        <f t="shared" si="0"/>
        <v>INSERT INTO mydb.UserEntity (id, username, password) VALUES (11, 'test9', '$2a$10$RqTUVFPAPDsLEYq1otSUA.3aCi35Aqr9j9u8joIqoeiv.fEX4j5ba');</v>
      </c>
    </row>
    <row r="13" spans="1:9" x14ac:dyDescent="0.35">
      <c r="A13">
        <v>11</v>
      </c>
      <c r="B13" t="s">
        <v>51</v>
      </c>
      <c r="C13" t="s">
        <v>24</v>
      </c>
      <c r="I13" t="str">
        <f t="shared" si="0"/>
        <v>INSERT INTO mydb.UserEntity (id, username, password) VALUES (12, 'test10', '$2a$10$RqTUVFPAPDsLEYq1otSUA.3aCi35Aqr9j9u8joIqoeiv.fEX4j5ba');</v>
      </c>
    </row>
    <row r="14" spans="1:9" x14ac:dyDescent="0.35">
      <c r="A14">
        <v>12</v>
      </c>
      <c r="B14" t="s">
        <v>52</v>
      </c>
      <c r="C14" t="s">
        <v>24</v>
      </c>
    </row>
    <row r="15" spans="1:9" x14ac:dyDescent="0.35">
      <c r="A15" t="s">
        <v>2</v>
      </c>
    </row>
    <row r="16" spans="1:9" x14ac:dyDescent="0.35">
      <c r="A16" t="s">
        <v>0</v>
      </c>
      <c r="B16" t="s">
        <v>9</v>
      </c>
      <c r="C16" t="s">
        <v>12</v>
      </c>
      <c r="D16" t="s">
        <v>13</v>
      </c>
      <c r="I16" t="str">
        <f>"INSERT INTO "&amp;$I$1&amp;"."&amp;$A$15&amp;" ("&amp;$A$16&amp;", "&amp;$B$16&amp;", "&amp;$C$16&amp;", "&amp;$D$16&amp;") VALUES ("&amp;A17&amp;", "&amp;B17&amp;", '"&amp;C17&amp;"', '"&amp;D17&amp;"');"</f>
        <v>INSERT INTO mydb.PlayerEntity (id, user_id, name, status) VALUES (1, 1, 'connor', 'active');</v>
      </c>
    </row>
    <row r="17" spans="1:9" x14ac:dyDescent="0.35">
      <c r="A17" s="1">
        <v>1</v>
      </c>
      <c r="B17" s="1">
        <v>1</v>
      </c>
      <c r="C17" s="1" t="s">
        <v>22</v>
      </c>
      <c r="D17" s="1" t="s">
        <v>19</v>
      </c>
      <c r="I17" t="str">
        <f t="shared" ref="I17:I27" si="1">"INSERT INTO "&amp;$I$1&amp;"."&amp;$A$15&amp;" ("&amp;$A$16&amp;", "&amp;$B$16&amp;", "&amp;$C$16&amp;", "&amp;$D$16&amp;") VALUES ("&amp;A18&amp;", "&amp;B18&amp;", '"&amp;C18&amp;"', '"&amp;D18&amp;"');"</f>
        <v>INSERT INTO mydb.PlayerEntity (id, user_id, name, status) VALUES (2, 2, 'adminPlayer', 'active');</v>
      </c>
    </row>
    <row r="18" spans="1:9" x14ac:dyDescent="0.35">
      <c r="A18" s="1">
        <v>2</v>
      </c>
      <c r="B18" s="1">
        <v>2</v>
      </c>
      <c r="C18" s="1" t="s">
        <v>25</v>
      </c>
      <c r="D18" s="1" t="s">
        <v>19</v>
      </c>
      <c r="I18" t="str">
        <f t="shared" si="1"/>
        <v>INSERT INTO mydb.PlayerEntity (id, user_id, name, status) VALUES (3, 3, 'testPlayer1', 'active');</v>
      </c>
    </row>
    <row r="19" spans="1:9" x14ac:dyDescent="0.35">
      <c r="A19" s="1">
        <v>3</v>
      </c>
      <c r="B19" s="1">
        <v>3</v>
      </c>
      <c r="C19" t="s">
        <v>53</v>
      </c>
      <c r="D19" t="s">
        <v>19</v>
      </c>
      <c r="I19" t="str">
        <f t="shared" si="1"/>
        <v>INSERT INTO mydb.PlayerEntity (id, user_id, name, status) VALUES (4, 4, 'testPlayer2', 'inactive');</v>
      </c>
    </row>
    <row r="20" spans="1:9" x14ac:dyDescent="0.35">
      <c r="A20" s="1">
        <v>4</v>
      </c>
      <c r="B20" s="1">
        <v>4</v>
      </c>
      <c r="C20" t="s">
        <v>54</v>
      </c>
      <c r="D20" t="s">
        <v>36</v>
      </c>
      <c r="I20" t="str">
        <f t="shared" si="1"/>
        <v>INSERT INTO mydb.PlayerEntity (id, user_id, name, status) VALUES (5, 5, 'testPlayer3', 'banned');</v>
      </c>
    </row>
    <row r="21" spans="1:9" x14ac:dyDescent="0.35">
      <c r="A21" s="1">
        <v>5</v>
      </c>
      <c r="B21" s="1">
        <v>5</v>
      </c>
      <c r="C21" t="s">
        <v>55</v>
      </c>
      <c r="D21" t="s">
        <v>64</v>
      </c>
      <c r="I21" t="str">
        <f t="shared" si="1"/>
        <v>INSERT INTO mydb.PlayerEntity (id, user_id, name, status) VALUES (6, 6, 'testPlayer4', 'deleted');</v>
      </c>
    </row>
    <row r="22" spans="1:9" x14ac:dyDescent="0.35">
      <c r="A22" s="1">
        <v>6</v>
      </c>
      <c r="B22" s="1">
        <v>6</v>
      </c>
      <c r="C22" t="s">
        <v>56</v>
      </c>
      <c r="D22" t="s">
        <v>65</v>
      </c>
      <c r="I22" t="str">
        <f t="shared" si="1"/>
        <v>INSERT INTO mydb.PlayerEntity (id, user_id, name, status) VALUES (7, 7, 'testPlayer5', 'active');</v>
      </c>
    </row>
    <row r="23" spans="1:9" x14ac:dyDescent="0.35">
      <c r="A23" s="1">
        <v>7</v>
      </c>
      <c r="B23" s="1">
        <v>7</v>
      </c>
      <c r="C23" t="s">
        <v>57</v>
      </c>
      <c r="D23" t="s">
        <v>19</v>
      </c>
      <c r="I23" t="str">
        <f t="shared" si="1"/>
        <v>INSERT INTO mydb.PlayerEntity (id, user_id, name, status) VALUES (8, 8, 'testPlayer6', 'active');</v>
      </c>
    </row>
    <row r="24" spans="1:9" x14ac:dyDescent="0.35">
      <c r="A24" s="1">
        <v>8</v>
      </c>
      <c r="B24" s="1">
        <v>8</v>
      </c>
      <c r="C24" t="s">
        <v>58</v>
      </c>
      <c r="D24" t="s">
        <v>19</v>
      </c>
      <c r="I24" t="str">
        <f t="shared" si="1"/>
        <v>INSERT INTO mydb.PlayerEntity (id, user_id, name, status) VALUES (9, 9, 'testPlayer7', 'active');</v>
      </c>
    </row>
    <row r="25" spans="1:9" x14ac:dyDescent="0.35">
      <c r="A25" s="1">
        <v>9</v>
      </c>
      <c r="B25" s="1">
        <v>9</v>
      </c>
      <c r="C25" t="s">
        <v>59</v>
      </c>
      <c r="D25" t="s">
        <v>19</v>
      </c>
      <c r="I25" t="str">
        <f t="shared" si="1"/>
        <v>INSERT INTO mydb.PlayerEntity (id, user_id, name, status) VALUES (10, 10, 'testPlayer8', 'active');</v>
      </c>
    </row>
    <row r="26" spans="1:9" x14ac:dyDescent="0.35">
      <c r="A26" s="1">
        <v>10</v>
      </c>
      <c r="B26" s="1">
        <v>10</v>
      </c>
      <c r="C26" t="s">
        <v>60</v>
      </c>
      <c r="D26" t="s">
        <v>19</v>
      </c>
      <c r="I26" t="str">
        <f t="shared" si="1"/>
        <v>INSERT INTO mydb.PlayerEntity (id, user_id, name, status) VALUES (11, 11, 'testPlayer9', 'active');</v>
      </c>
    </row>
    <row r="27" spans="1:9" x14ac:dyDescent="0.35">
      <c r="A27" s="1">
        <v>11</v>
      </c>
      <c r="B27" s="1">
        <v>11</v>
      </c>
      <c r="C27" t="s">
        <v>61</v>
      </c>
      <c r="D27" t="s">
        <v>19</v>
      </c>
      <c r="I27" t="str">
        <f t="shared" si="1"/>
        <v>INSERT INTO mydb.PlayerEntity (id, user_id, name, status) VALUES (12, 12, 'testPlayer10', 'active');</v>
      </c>
    </row>
    <row r="28" spans="1:9" x14ac:dyDescent="0.35">
      <c r="A28" s="1">
        <v>12</v>
      </c>
      <c r="B28" s="1">
        <v>12</v>
      </c>
      <c r="C28" t="s">
        <v>62</v>
      </c>
      <c r="D28" t="s">
        <v>19</v>
      </c>
    </row>
    <row r="29" spans="1:9" x14ac:dyDescent="0.35">
      <c r="A29" s="1">
        <v>13</v>
      </c>
      <c r="B29" s="1">
        <v>13</v>
      </c>
      <c r="C29" t="s">
        <v>63</v>
      </c>
      <c r="D29" t="s">
        <v>19</v>
      </c>
    </row>
    <row r="30" spans="1:9" x14ac:dyDescent="0.35">
      <c r="A30" t="s">
        <v>3</v>
      </c>
    </row>
    <row r="31" spans="1:9" x14ac:dyDescent="0.35">
      <c r="A31" t="s">
        <v>0</v>
      </c>
      <c r="B31" t="s">
        <v>14</v>
      </c>
      <c r="C31" t="s">
        <v>15</v>
      </c>
      <c r="D31" t="s">
        <v>13</v>
      </c>
      <c r="E31" t="s">
        <v>16</v>
      </c>
      <c r="F31" t="s">
        <v>17</v>
      </c>
      <c r="G31" t="s">
        <v>18</v>
      </c>
      <c r="I31" t="str">
        <f>"INSERT INTO "&amp;$I$1&amp;"."&amp;$A$30&amp;" ("&amp;$A$31&amp;", "&amp;$B$31&amp;", "&amp;$C$31&amp;", "&amp;$D$31&amp;", "&amp;$F$31&amp;", "&amp;$G$31&amp;") VALUES ("&amp;A32&amp;", "&amp;B32&amp;", '"&amp;C32&amp;"', '"&amp;D32&amp;"',  '"&amp;F32&amp;"', "&amp;G32&amp;");"</f>
        <v>INSERT INTO mydb.MatchEntity (id, location_id, description, status, private_description, creator_id) VALUES (1, 1, 'Local match to join', 'scheduled',  'to join, message xyxyxy', 1);</v>
      </c>
    </row>
    <row r="32" spans="1:9" ht="29" x14ac:dyDescent="0.35">
      <c r="A32" s="1">
        <v>1</v>
      </c>
      <c r="B32" s="1">
        <v>1</v>
      </c>
      <c r="C32" s="1" t="s">
        <v>26</v>
      </c>
      <c r="D32" s="1" t="s">
        <v>27</v>
      </c>
      <c r="E32" s="1"/>
      <c r="F32" s="1" t="s">
        <v>28</v>
      </c>
      <c r="G32" s="1">
        <v>1</v>
      </c>
      <c r="I32" t="str">
        <f t="shared" ref="I32:I43" si="2">"INSERT INTO "&amp;$I$1&amp;"."&amp;$A$30&amp;" ("&amp;$A$31&amp;", "&amp;$B$31&amp;", "&amp;$C$31&amp;", "&amp;$D$31&amp;", "&amp;$F$31&amp;", "&amp;$G$31&amp;") VALUES ("&amp;A33&amp;", "&amp;B33&amp;", '"&amp;C33&amp;"', '"&amp;D33&amp;"',  '"&amp;F33&amp;"', "&amp;G33&amp;");"</f>
        <v>INSERT INTO mydb.MatchEntity (id, location_id, description, status, private_description, creator_id) VALUES (2, 1, 'Local match to join', 'scheduled',  'to join, message xyxyxy', 1);</v>
      </c>
    </row>
    <row r="33" spans="1:9" ht="29" x14ac:dyDescent="0.35">
      <c r="A33" s="1">
        <v>2</v>
      </c>
      <c r="B33" s="1">
        <v>1</v>
      </c>
      <c r="C33" s="1" t="s">
        <v>26</v>
      </c>
      <c r="D33" s="1" t="s">
        <v>27</v>
      </c>
      <c r="E33" s="1"/>
      <c r="F33" s="1" t="s">
        <v>28</v>
      </c>
      <c r="G33" s="1">
        <v>1</v>
      </c>
      <c r="I33" t="str">
        <f t="shared" si="2"/>
        <v>INSERT INTO mydb.MatchEntity (id, location_id, description, status, private_description, creator_id) VALUES (3, 2, 'testMatch1', 'active',  'to join, message xyxyxy', 2);</v>
      </c>
    </row>
    <row r="34" spans="1:9" ht="29" x14ac:dyDescent="0.35">
      <c r="A34" s="1">
        <v>3</v>
      </c>
      <c r="B34" s="1">
        <v>2</v>
      </c>
      <c r="C34" t="s">
        <v>66</v>
      </c>
      <c r="D34" t="s">
        <v>19</v>
      </c>
      <c r="F34" s="1" t="s">
        <v>28</v>
      </c>
      <c r="G34">
        <v>2</v>
      </c>
      <c r="I34" t="str">
        <f t="shared" si="2"/>
        <v>INSERT INTO mydb.MatchEntity (id, location_id, description, status, private_description, creator_id) VALUES (4, 2, 'testMatch2', 'completed',  'to join, message xyxyxy', 3);</v>
      </c>
    </row>
    <row r="35" spans="1:9" ht="29" x14ac:dyDescent="0.35">
      <c r="A35" s="1">
        <v>4</v>
      </c>
      <c r="B35" s="1">
        <v>2</v>
      </c>
      <c r="C35" t="s">
        <v>67</v>
      </c>
      <c r="D35" t="s">
        <v>77</v>
      </c>
      <c r="F35" s="1" t="s">
        <v>28</v>
      </c>
      <c r="G35">
        <v>3</v>
      </c>
      <c r="I35" t="str">
        <f t="shared" si="2"/>
        <v>INSERT INTO mydb.MatchEntity (id, location_id, description, status, private_description, creator_id) VALUES (5, 1, 'testMatch3', 'cancelled',  'to join, message xyxyxy', 4);</v>
      </c>
    </row>
    <row r="36" spans="1:9" ht="29" x14ac:dyDescent="0.35">
      <c r="A36" s="1">
        <v>5</v>
      </c>
      <c r="B36" s="1">
        <v>1</v>
      </c>
      <c r="C36" t="s">
        <v>68</v>
      </c>
      <c r="D36" t="s">
        <v>37</v>
      </c>
      <c r="F36" s="1" t="s">
        <v>28</v>
      </c>
      <c r="G36">
        <v>4</v>
      </c>
      <c r="I36" t="str">
        <f t="shared" si="2"/>
        <v>INSERT INTO mydb.MatchEntity (id, location_id, description, status, private_description, creator_id) VALUES (6, 1, 'testMatch4', 'active',  'to join, message xyxyxy', 5);</v>
      </c>
    </row>
    <row r="37" spans="1:9" ht="29" x14ac:dyDescent="0.35">
      <c r="A37" s="1">
        <v>6</v>
      </c>
      <c r="B37" s="1">
        <v>1</v>
      </c>
      <c r="C37" t="s">
        <v>69</v>
      </c>
      <c r="D37" t="s">
        <v>19</v>
      </c>
      <c r="F37" s="1" t="s">
        <v>28</v>
      </c>
      <c r="G37">
        <v>5</v>
      </c>
      <c r="I37" t="str">
        <f t="shared" si="2"/>
        <v>INSERT INTO mydb.MatchEntity (id, location_id, description, status, private_description, creator_id) VALUES (7, 2, 'testMatch5', 'scheduled',  'to join, message xyxyxy', 6);</v>
      </c>
    </row>
    <row r="38" spans="1:9" ht="29" x14ac:dyDescent="0.35">
      <c r="A38" s="1">
        <v>7</v>
      </c>
      <c r="B38" s="1">
        <v>2</v>
      </c>
      <c r="C38" t="s">
        <v>70</v>
      </c>
      <c r="D38" t="s">
        <v>27</v>
      </c>
      <c r="F38" s="1" t="s">
        <v>28</v>
      </c>
      <c r="G38">
        <v>6</v>
      </c>
      <c r="I38" t="str">
        <f t="shared" si="2"/>
        <v>INSERT INTO mydb.MatchEntity (id, location_id, description, status, private_description, creator_id) VALUES (8, 2, 'testMatch6', 'active',  'to join, message xyxyxy', 7);</v>
      </c>
    </row>
    <row r="39" spans="1:9" ht="29" x14ac:dyDescent="0.35">
      <c r="A39" s="1">
        <v>8</v>
      </c>
      <c r="B39" s="1">
        <v>2</v>
      </c>
      <c r="C39" t="s">
        <v>71</v>
      </c>
      <c r="D39" t="s">
        <v>19</v>
      </c>
      <c r="F39" s="1" t="s">
        <v>28</v>
      </c>
      <c r="G39">
        <v>7</v>
      </c>
      <c r="I39" t="str">
        <f t="shared" si="2"/>
        <v>INSERT INTO mydb.MatchEntity (id, location_id, description, status, private_description, creator_id) VALUES (9, 1, 'testMatch7', 'scheduled',  'to join, message xyxyxy', 8);</v>
      </c>
    </row>
    <row r="40" spans="1:9" ht="29" x14ac:dyDescent="0.35">
      <c r="A40" s="1">
        <v>9</v>
      </c>
      <c r="B40" s="1">
        <v>1</v>
      </c>
      <c r="C40" t="s">
        <v>72</v>
      </c>
      <c r="D40" t="s">
        <v>27</v>
      </c>
      <c r="F40" s="1" t="s">
        <v>28</v>
      </c>
      <c r="G40">
        <v>8</v>
      </c>
      <c r="I40" t="str">
        <f t="shared" si="2"/>
        <v>INSERT INTO mydb.MatchEntity (id, location_id, description, status, private_description, creator_id) VALUES (10, 1, 'testMatch8', 'completed',  'to join, message xyxyxy', 9);</v>
      </c>
    </row>
    <row r="41" spans="1:9" ht="29" x14ac:dyDescent="0.35">
      <c r="A41" s="1">
        <v>10</v>
      </c>
      <c r="B41" s="1">
        <v>1</v>
      </c>
      <c r="C41" t="s">
        <v>73</v>
      </c>
      <c r="D41" t="s">
        <v>77</v>
      </c>
      <c r="F41" s="1" t="s">
        <v>28</v>
      </c>
      <c r="G41">
        <v>9</v>
      </c>
      <c r="I41" t="str">
        <f t="shared" si="2"/>
        <v>INSERT INTO mydb.MatchEntity (id, location_id, description, status, private_description, creator_id) VALUES (11, 1, 'testMatch9', 'cancelled',  'to join, message xyxyxy', 10);</v>
      </c>
    </row>
    <row r="42" spans="1:9" ht="29" x14ac:dyDescent="0.35">
      <c r="A42" s="1">
        <v>11</v>
      </c>
      <c r="B42" s="1">
        <v>1</v>
      </c>
      <c r="C42" t="s">
        <v>74</v>
      </c>
      <c r="D42" t="s">
        <v>37</v>
      </c>
      <c r="F42" s="1" t="s">
        <v>28</v>
      </c>
      <c r="G42">
        <v>10</v>
      </c>
      <c r="I42" t="str">
        <f t="shared" si="2"/>
        <v>INSERT INTO mydb.MatchEntity (id, location_id, description, status, private_description, creator_id) VALUES (12, 2, 'testMatch10', 'deleted',  'to join, message xyxyxy', 11);</v>
      </c>
    </row>
    <row r="43" spans="1:9" ht="29" x14ac:dyDescent="0.35">
      <c r="A43" s="1">
        <v>12</v>
      </c>
      <c r="B43" s="1">
        <v>2</v>
      </c>
      <c r="C43" t="s">
        <v>75</v>
      </c>
      <c r="D43" t="s">
        <v>65</v>
      </c>
      <c r="F43" s="1" t="s">
        <v>28</v>
      </c>
      <c r="G43">
        <v>11</v>
      </c>
      <c r="I43" t="str">
        <f t="shared" si="2"/>
        <v>INSERT INTO mydb.MatchEntity (id, location_id, description, status, private_description, creator_id) VALUES (13, 2, 'testMatch11', 'active',  'to join, message xyxyxy', 12);</v>
      </c>
    </row>
    <row r="44" spans="1:9" ht="29" x14ac:dyDescent="0.35">
      <c r="A44" s="1">
        <v>13</v>
      </c>
      <c r="B44" s="1">
        <v>2</v>
      </c>
      <c r="C44" t="s">
        <v>76</v>
      </c>
      <c r="D44" t="s">
        <v>19</v>
      </c>
      <c r="F44" s="1" t="s">
        <v>28</v>
      </c>
      <c r="G44">
        <v>12</v>
      </c>
    </row>
    <row r="45" spans="1:9" x14ac:dyDescent="0.35">
      <c r="A45" t="s">
        <v>4</v>
      </c>
    </row>
    <row r="46" spans="1:9" x14ac:dyDescent="0.35">
      <c r="A46" t="s">
        <v>0</v>
      </c>
      <c r="B46" t="s">
        <v>12</v>
      </c>
      <c r="C46" t="s">
        <v>15</v>
      </c>
      <c r="D46" t="s">
        <v>19</v>
      </c>
      <c r="E46" t="s">
        <v>20</v>
      </c>
      <c r="F46" t="s">
        <v>21</v>
      </c>
      <c r="I46" t="str">
        <f>"INSERT INTO "&amp;$I$1&amp;"."&amp;$A$45&amp;" ("&amp;$A$46&amp;", "&amp;$B$46&amp;", "&amp;$C$46&amp;", "&amp;$D$46&amp;", "&amp;$E$46&amp;", "&amp;$F$46&amp;") VALUES ("&amp;A47&amp;", '"&amp;B47&amp;"', '"&amp;C47&amp;"', "&amp;D47&amp;",  "&amp;E47&amp;", '"&amp;F47&amp;"');"</f>
        <v>INSERT INTO mydb.TeamEntity (id, name, description, active, home_ground, type) VALUES (1, 'team1', 'testTeam', 1,  1, 'fixed');</v>
      </c>
    </row>
    <row r="47" spans="1:9" x14ac:dyDescent="0.35">
      <c r="A47" s="1">
        <v>1</v>
      </c>
      <c r="B47" s="1" t="s">
        <v>29</v>
      </c>
      <c r="C47" s="1" t="s">
        <v>30</v>
      </c>
      <c r="D47" s="1">
        <v>1</v>
      </c>
      <c r="E47" s="1">
        <v>1</v>
      </c>
      <c r="F47" s="1" t="s">
        <v>31</v>
      </c>
      <c r="I47" t="str">
        <f t="shared" ref="I47:I58" si="3">"INSERT INTO "&amp;$I$1&amp;"."&amp;$A$45&amp;" ("&amp;$A$46&amp;", "&amp;$B$46&amp;", "&amp;$C$46&amp;", "&amp;$D$46&amp;", "&amp;$E$46&amp;", "&amp;$F$46&amp;") VALUES ("&amp;A48&amp;", '"&amp;B48&amp;"', '"&amp;C48&amp;"', "&amp;D48&amp;",  "&amp;E48&amp;", '"&amp;F48&amp;"');"</f>
        <v>INSERT INTO mydb.TeamEntity (id, name, description, active, home_ground, type) VALUES (2, 'team2', 'testTeam', 1,  1, 'dropin');</v>
      </c>
    </row>
    <row r="48" spans="1:9" x14ac:dyDescent="0.35">
      <c r="A48" s="1">
        <v>2</v>
      </c>
      <c r="B48" s="1" t="s">
        <v>32</v>
      </c>
      <c r="C48" s="1" t="s">
        <v>30</v>
      </c>
      <c r="D48" s="1">
        <v>1</v>
      </c>
      <c r="E48" s="1">
        <v>1</v>
      </c>
      <c r="F48" s="1" t="s">
        <v>33</v>
      </c>
      <c r="I48" t="str">
        <f t="shared" si="3"/>
        <v>INSERT INTO mydb.TeamEntity (id, name, description, active, home_ground, type) VALUES (3, 'team3', 'testTeam', 1,  2, 'fixed');</v>
      </c>
    </row>
    <row r="49" spans="1:9" x14ac:dyDescent="0.35">
      <c r="A49" s="1">
        <v>3</v>
      </c>
      <c r="B49" s="1" t="s">
        <v>78</v>
      </c>
      <c r="C49" s="1" t="s">
        <v>30</v>
      </c>
      <c r="D49" s="1">
        <v>1</v>
      </c>
      <c r="E49">
        <v>2</v>
      </c>
      <c r="F49" s="1" t="s">
        <v>31</v>
      </c>
      <c r="I49" t="str">
        <f t="shared" si="3"/>
        <v>INSERT INTO mydb.TeamEntity (id, name, description, active, home_ground, type) VALUES (4, 'team4', 'testTeam', 1,  3, 'dropin');</v>
      </c>
    </row>
    <row r="50" spans="1:9" x14ac:dyDescent="0.35">
      <c r="A50" s="1">
        <v>4</v>
      </c>
      <c r="B50" s="1" t="s">
        <v>79</v>
      </c>
      <c r="C50" s="1" t="s">
        <v>30</v>
      </c>
      <c r="D50" s="1">
        <v>1</v>
      </c>
      <c r="E50">
        <v>3</v>
      </c>
      <c r="F50" s="1" t="s">
        <v>33</v>
      </c>
      <c r="I50" t="str">
        <f t="shared" si="3"/>
        <v>INSERT INTO mydb.TeamEntity (id, name, description, active, home_ground, type) VALUES (5, 'team5', 'testTeam', 1,  4, 'open');</v>
      </c>
    </row>
    <row r="51" spans="1:9" x14ac:dyDescent="0.35">
      <c r="A51" s="1">
        <v>5</v>
      </c>
      <c r="B51" s="1" t="s">
        <v>80</v>
      </c>
      <c r="C51" s="1" t="s">
        <v>30</v>
      </c>
      <c r="D51" s="1">
        <v>1</v>
      </c>
      <c r="E51">
        <v>4</v>
      </c>
      <c r="F51" s="1" t="s">
        <v>89</v>
      </c>
      <c r="I51" t="str">
        <f t="shared" si="3"/>
        <v>INSERT INTO mydb.TeamEntity (id, name, description, active, home_ground, type) VALUES (6, 'team6', 'testTeam', 0,  1, 'open');</v>
      </c>
    </row>
    <row r="52" spans="1:9" x14ac:dyDescent="0.35">
      <c r="A52" s="1">
        <v>6</v>
      </c>
      <c r="B52" s="1" t="s">
        <v>81</v>
      </c>
      <c r="C52" s="1" t="s">
        <v>30</v>
      </c>
      <c r="D52" s="1">
        <v>0</v>
      </c>
      <c r="E52">
        <v>1</v>
      </c>
      <c r="F52" s="1" t="s">
        <v>89</v>
      </c>
      <c r="I52" t="str">
        <f t="shared" si="3"/>
        <v>INSERT INTO mydb.TeamEntity (id, name, description, active, home_ground, type) VALUES (7, 'team7', 'testTeam', 0,  2, 'fixed');</v>
      </c>
    </row>
    <row r="53" spans="1:9" x14ac:dyDescent="0.35">
      <c r="A53" s="1">
        <v>7</v>
      </c>
      <c r="B53" s="1" t="s">
        <v>82</v>
      </c>
      <c r="C53" s="1" t="s">
        <v>30</v>
      </c>
      <c r="D53" s="1">
        <v>0</v>
      </c>
      <c r="E53">
        <v>2</v>
      </c>
      <c r="F53" s="1" t="s">
        <v>31</v>
      </c>
      <c r="I53" t="str">
        <f t="shared" si="3"/>
        <v>INSERT INTO mydb.TeamEntity (id, name, description, active, home_ground, type) VALUES (8, 'team8', 'testTeam', 1,  3, 'dropin');</v>
      </c>
    </row>
    <row r="54" spans="1:9" x14ac:dyDescent="0.35">
      <c r="A54" s="1">
        <v>8</v>
      </c>
      <c r="B54" s="1" t="s">
        <v>83</v>
      </c>
      <c r="C54" s="1" t="s">
        <v>30</v>
      </c>
      <c r="D54" s="1">
        <v>1</v>
      </c>
      <c r="E54">
        <v>3</v>
      </c>
      <c r="F54" s="1" t="s">
        <v>33</v>
      </c>
      <c r="I54" t="str">
        <f t="shared" si="3"/>
        <v>INSERT INTO mydb.TeamEntity (id, name, description, active, home_ground, type) VALUES (9, 'team9', 'testTeam', 1,  4, 'open');</v>
      </c>
    </row>
    <row r="55" spans="1:9" x14ac:dyDescent="0.35">
      <c r="A55" s="1">
        <v>9</v>
      </c>
      <c r="B55" s="1" t="s">
        <v>84</v>
      </c>
      <c r="C55" s="1" t="s">
        <v>30</v>
      </c>
      <c r="D55" s="1">
        <v>1</v>
      </c>
      <c r="E55">
        <v>4</v>
      </c>
      <c r="F55" s="1" t="s">
        <v>89</v>
      </c>
      <c r="I55" t="str">
        <f t="shared" si="3"/>
        <v>INSERT INTO mydb.TeamEntity (id, name, description, active, home_ground, type) VALUES (10, 'team10', 'testTeam', 1,  5, 'open');</v>
      </c>
    </row>
    <row r="56" spans="1:9" x14ac:dyDescent="0.35">
      <c r="A56" s="1">
        <v>10</v>
      </c>
      <c r="B56" s="1" t="s">
        <v>85</v>
      </c>
      <c r="C56" s="1" t="s">
        <v>30</v>
      </c>
      <c r="D56" s="1">
        <v>1</v>
      </c>
      <c r="E56">
        <v>5</v>
      </c>
      <c r="F56" s="1" t="s">
        <v>89</v>
      </c>
      <c r="I56" t="str">
        <f t="shared" si="3"/>
        <v>INSERT INTO mydb.TeamEntity (id, name, description, active, home_ground, type) VALUES (11, 'team11', 'testTeam', 1,  6, 'fixed');</v>
      </c>
    </row>
    <row r="57" spans="1:9" x14ac:dyDescent="0.35">
      <c r="A57" s="1">
        <v>11</v>
      </c>
      <c r="B57" s="1" t="s">
        <v>86</v>
      </c>
      <c r="C57" s="1" t="s">
        <v>30</v>
      </c>
      <c r="D57" s="1">
        <v>1</v>
      </c>
      <c r="E57">
        <v>6</v>
      </c>
      <c r="F57" s="1" t="s">
        <v>31</v>
      </c>
      <c r="I57" t="str">
        <f t="shared" si="3"/>
        <v>INSERT INTO mydb.TeamEntity (id, name, description, active, home_ground, type) VALUES (12, 'team12', 'testTeam', 1,  7, 'dropin');</v>
      </c>
    </row>
    <row r="58" spans="1:9" x14ac:dyDescent="0.35">
      <c r="A58" s="1">
        <v>12</v>
      </c>
      <c r="B58" s="1" t="s">
        <v>87</v>
      </c>
      <c r="C58" s="1" t="s">
        <v>30</v>
      </c>
      <c r="D58" s="1">
        <v>1</v>
      </c>
      <c r="E58">
        <v>7</v>
      </c>
      <c r="F58" s="1" t="s">
        <v>33</v>
      </c>
      <c r="I58" t="str">
        <f t="shared" si="3"/>
        <v>INSERT INTO mydb.TeamEntity (id, name, description, active, home_ground, type) VALUES (13, 'team13', 'testTeam', 1,  8, 'open');</v>
      </c>
    </row>
    <row r="59" spans="1:9" x14ac:dyDescent="0.35">
      <c r="A59" s="1">
        <v>13</v>
      </c>
      <c r="B59" s="1" t="s">
        <v>88</v>
      </c>
      <c r="C59" s="1" t="s">
        <v>30</v>
      </c>
      <c r="D59" s="1">
        <v>1</v>
      </c>
      <c r="E59">
        <v>8</v>
      </c>
      <c r="F59" s="1" t="s">
        <v>89</v>
      </c>
    </row>
    <row r="60" spans="1:9" x14ac:dyDescent="0.35">
      <c r="A60" t="s">
        <v>5</v>
      </c>
    </row>
    <row r="61" spans="1:9" x14ac:dyDescent="0.35">
      <c r="A61" t="s">
        <v>0</v>
      </c>
      <c r="B61" t="s">
        <v>12</v>
      </c>
      <c r="C61" t="s">
        <v>38</v>
      </c>
      <c r="D61" t="s">
        <v>39</v>
      </c>
      <c r="E61" t="s">
        <v>13</v>
      </c>
      <c r="I61" t="str">
        <f>"INSERT INTO "&amp;$I$1&amp;"."&amp;$A$60&amp;" ("&amp;$A$61&amp;", "&amp;$B$61&amp;","&amp;$D$61&amp;") VALUES ("&amp;A62&amp;", '"&amp;B62&amp;"', '"&amp;D62&amp;"');"</f>
        <v>INSERT INTO mydb.LocationEntity (id, name,maps_link) VALUES (1, 'LocalField1', 'https://maps.app.goo.gl/Lu9bUBy9yGYDFZmH6');</v>
      </c>
    </row>
    <row r="62" spans="1:9" ht="43.5" x14ac:dyDescent="0.35">
      <c r="A62" s="1">
        <v>1</v>
      </c>
      <c r="B62" s="1" t="s">
        <v>95</v>
      </c>
      <c r="C62" s="1"/>
      <c r="D62" s="1" t="s">
        <v>34</v>
      </c>
      <c r="E62" s="1" t="s">
        <v>19</v>
      </c>
      <c r="I62" t="str">
        <f t="shared" ref="I62:I73" si="4">"INSERT INTO "&amp;$I$1&amp;"."&amp;$A$60&amp;" ("&amp;$A$61&amp;", "&amp;$B$61&amp;","&amp;$D$61&amp;") VALUES ("&amp;A63&amp;", '"&amp;B63&amp;"', '"&amp;D63&amp;"');"</f>
        <v>INSERT INTO mydb.LocationEntity (id, name,maps_link) VALUES (2, 'LocalField2', 'https://maps.app.goo.gl/Lu9bUBy9yGYDFZmH6');</v>
      </c>
    </row>
    <row r="63" spans="1:9" ht="43.5" x14ac:dyDescent="0.35">
      <c r="A63" s="1">
        <v>2</v>
      </c>
      <c r="B63" s="1" t="s">
        <v>35</v>
      </c>
      <c r="C63" s="1"/>
      <c r="D63" s="1" t="s">
        <v>34</v>
      </c>
      <c r="E63" s="1" t="s">
        <v>19</v>
      </c>
      <c r="I63" t="str">
        <f t="shared" si="4"/>
        <v>INSERT INTO mydb.LocationEntity (id, name,maps_link) VALUES (3, 'LocalField3', 'https://maps.app.goo.gl/Lu9bUBy9yGYDFZmH6');</v>
      </c>
    </row>
    <row r="64" spans="1:9" ht="43.5" x14ac:dyDescent="0.35">
      <c r="A64" s="1">
        <v>3</v>
      </c>
      <c r="B64" s="1" t="s">
        <v>90</v>
      </c>
      <c r="C64" s="1"/>
      <c r="D64" s="1" t="s">
        <v>34</v>
      </c>
      <c r="E64" s="1" t="s">
        <v>36</v>
      </c>
      <c r="I64" t="str">
        <f t="shared" si="4"/>
        <v>INSERT INTO mydb.LocationEntity (id, name,maps_link) VALUES (4, 'LocalField4', 'https://maps.app.goo.gl/Lu9bUBy9yGYDFZmH6');</v>
      </c>
    </row>
    <row r="65" spans="1:9" ht="43.5" x14ac:dyDescent="0.35">
      <c r="A65" s="1">
        <v>4</v>
      </c>
      <c r="B65" s="1" t="s">
        <v>91</v>
      </c>
      <c r="C65" s="1"/>
      <c r="D65" s="1" t="s">
        <v>34</v>
      </c>
      <c r="E65" s="1" t="s">
        <v>64</v>
      </c>
      <c r="I65" t="str">
        <f t="shared" si="4"/>
        <v>INSERT INTO mydb.LocationEntity (id, name,maps_link) VALUES (5, 'LocalField5', 'https://maps.app.goo.gl/Lu9bUBy9yGYDFZmH6');</v>
      </c>
    </row>
    <row r="66" spans="1:9" ht="43.5" x14ac:dyDescent="0.35">
      <c r="A66" s="1">
        <v>5</v>
      </c>
      <c r="B66" s="1" t="s">
        <v>92</v>
      </c>
      <c r="C66" s="1"/>
      <c r="D66" s="1" t="s">
        <v>34</v>
      </c>
      <c r="E66" s="1" t="s">
        <v>36</v>
      </c>
      <c r="I66" t="str">
        <f t="shared" si="4"/>
        <v>INSERT INTO mydb.LocationEntity (id, name,maps_link) VALUES (6, 'LocalField6', 'https://maps.app.goo.gl/Lu9bUBy9yGYDFZmH6');</v>
      </c>
    </row>
    <row r="67" spans="1:9" ht="43.5" x14ac:dyDescent="0.35">
      <c r="A67" s="1">
        <v>6</v>
      </c>
      <c r="B67" s="1" t="s">
        <v>93</v>
      </c>
      <c r="C67" s="1"/>
      <c r="D67" s="1" t="s">
        <v>34</v>
      </c>
      <c r="E67" s="1" t="s">
        <v>19</v>
      </c>
      <c r="I67" t="str">
        <f t="shared" si="4"/>
        <v>INSERT INTO mydb.LocationEntity (id, name,maps_link) VALUES (7, 'LocalField7', 'https://maps.app.goo.gl/Lu9bUBy9yGYDFZmH6');</v>
      </c>
    </row>
    <row r="68" spans="1:9" ht="43.5" x14ac:dyDescent="0.35">
      <c r="A68" s="1">
        <v>7</v>
      </c>
      <c r="B68" s="1" t="s">
        <v>94</v>
      </c>
      <c r="C68" s="1"/>
      <c r="D68" s="1" t="s">
        <v>34</v>
      </c>
      <c r="E68" s="1" t="s">
        <v>19</v>
      </c>
      <c r="I68" t="str">
        <f t="shared" si="4"/>
        <v>INSERT INTO mydb.LocationEntity (id, name,maps_link) VALUES (8, 'LocalField8', 'https://maps.app.goo.gl/Lu9bUBy9yGYDFZmH6');</v>
      </c>
    </row>
    <row r="69" spans="1:9" ht="43.5" x14ac:dyDescent="0.35">
      <c r="A69" s="1">
        <v>8</v>
      </c>
      <c r="B69" s="1" t="s">
        <v>96</v>
      </c>
      <c r="C69" s="1"/>
      <c r="D69" s="1" t="s">
        <v>34</v>
      </c>
      <c r="E69" s="1" t="s">
        <v>19</v>
      </c>
      <c r="I69" t="str">
        <f t="shared" si="4"/>
        <v>INSERT INTO mydb.LocationEntity (id, name,maps_link) VALUES (9, 'LocalField9', 'https://maps.app.goo.gl/Lu9bUBy9yGYDFZmH6');</v>
      </c>
    </row>
    <row r="70" spans="1:9" ht="43.5" x14ac:dyDescent="0.35">
      <c r="A70" s="1">
        <v>9</v>
      </c>
      <c r="B70" s="1" t="s">
        <v>97</v>
      </c>
      <c r="C70" s="1"/>
      <c r="D70" s="1" t="s">
        <v>34</v>
      </c>
      <c r="E70" s="1" t="s">
        <v>19</v>
      </c>
      <c r="I70" t="str">
        <f t="shared" si="4"/>
        <v>INSERT INTO mydb.LocationEntity (id, name,maps_link) VALUES (10, 'LocalField10', 'https://maps.app.goo.gl/Lu9bUBy9yGYDFZmH6');</v>
      </c>
    </row>
    <row r="71" spans="1:9" ht="43.5" x14ac:dyDescent="0.35">
      <c r="A71" s="1">
        <v>10</v>
      </c>
      <c r="B71" s="1" t="s">
        <v>98</v>
      </c>
      <c r="C71" s="1"/>
      <c r="D71" s="1" t="s">
        <v>34</v>
      </c>
      <c r="E71" s="1" t="s">
        <v>19</v>
      </c>
      <c r="I71" t="str">
        <f t="shared" si="4"/>
        <v>INSERT INTO mydb.LocationEntity (id, name,maps_link) VALUES (11, 'LocalField11', 'https://maps.app.goo.gl/Lu9bUBy9yGYDFZmH6');</v>
      </c>
    </row>
    <row r="72" spans="1:9" ht="43.5" x14ac:dyDescent="0.35">
      <c r="A72" s="1">
        <v>11</v>
      </c>
      <c r="B72" s="1" t="s">
        <v>99</v>
      </c>
      <c r="C72" s="1"/>
      <c r="D72" s="1" t="s">
        <v>34</v>
      </c>
      <c r="E72" s="1" t="s">
        <v>19</v>
      </c>
      <c r="I72" t="str">
        <f t="shared" si="4"/>
        <v>INSERT INTO mydb.LocationEntity (id, name,maps_link) VALUES (12, 'LocalField12', 'https://maps.app.goo.gl/Lu9bUBy9yGYDFZmH6');</v>
      </c>
    </row>
    <row r="73" spans="1:9" ht="43.5" x14ac:dyDescent="0.35">
      <c r="A73" s="1">
        <v>12</v>
      </c>
      <c r="B73" s="1" t="s">
        <v>100</v>
      </c>
      <c r="C73" s="1"/>
      <c r="D73" s="1" t="s">
        <v>34</v>
      </c>
      <c r="E73" s="1" t="s">
        <v>19</v>
      </c>
      <c r="I73" t="str">
        <f t="shared" si="4"/>
        <v>INSERT INTO mydb.LocationEntity (id, name,maps_link) VALUES (13, 'LocalField13', 'https://maps.app.goo.gl/Lu9bUBy9yGYDFZmH6');</v>
      </c>
    </row>
    <row r="74" spans="1:9" ht="43.5" x14ac:dyDescent="0.35">
      <c r="A74" s="1">
        <v>13</v>
      </c>
      <c r="B74" s="1" t="s">
        <v>101</v>
      </c>
      <c r="C74" s="1"/>
      <c r="D74" s="1" t="s">
        <v>34</v>
      </c>
      <c r="E74" s="1" t="s">
        <v>19</v>
      </c>
    </row>
    <row r="75" spans="1:9" x14ac:dyDescent="0.35">
      <c r="A75" t="s">
        <v>6</v>
      </c>
    </row>
    <row r="76" spans="1:9" x14ac:dyDescent="0.35">
      <c r="A76" t="s">
        <v>0</v>
      </c>
      <c r="B76" t="s">
        <v>40</v>
      </c>
      <c r="C76" t="s">
        <v>41</v>
      </c>
      <c r="D76" t="s">
        <v>13</v>
      </c>
      <c r="I76" t="str">
        <f>"INSERT INTO "&amp;$I$1&amp;"."&amp;$A$75&amp;" ("&amp;$A$76&amp;", "&amp;$B$76&amp;", "&amp;$C$76&amp;", "&amp;$D$76&amp;") VALUES ("&amp;A77&amp;", "&amp;B77&amp;", "&amp;C77&amp;", '"&amp;D77&amp;"');"</f>
        <v>INSERT INTO mydb.PlayerTeamLinkEntity (id, player_id, team_id, status) VALUES (1, 1, 1, 'active');</v>
      </c>
    </row>
    <row r="77" spans="1:9" x14ac:dyDescent="0.35">
      <c r="A77" s="1">
        <v>1</v>
      </c>
      <c r="B77" s="1">
        <v>1</v>
      </c>
      <c r="C77" s="1">
        <v>1</v>
      </c>
      <c r="D77" s="1" t="s">
        <v>19</v>
      </c>
      <c r="I77" t="str">
        <f t="shared" ref="I77:I88" si="5">"INSERT INTO "&amp;$I$1&amp;"."&amp;$A$75&amp;" ("&amp;$A$76&amp;", "&amp;$B$76&amp;", "&amp;$C$76&amp;", "&amp;$D$76&amp;") VALUES ("&amp;A78&amp;", "&amp;B78&amp;", "&amp;C78&amp;", '"&amp;D78&amp;"');"</f>
        <v>INSERT INTO mydb.PlayerTeamLinkEntity (id, player_id, team_id, status) VALUES (2, 2, 1, 'active');</v>
      </c>
    </row>
    <row r="78" spans="1:9" x14ac:dyDescent="0.35">
      <c r="A78" s="1">
        <v>2</v>
      </c>
      <c r="B78" s="1">
        <v>2</v>
      </c>
      <c r="C78" s="1">
        <v>1</v>
      </c>
      <c r="D78" s="1" t="s">
        <v>19</v>
      </c>
      <c r="I78" t="str">
        <f t="shared" si="5"/>
        <v>INSERT INTO mydb.PlayerTeamLinkEntity (id, player_id, team_id, status) VALUES (3, 1, 2, 'inactive');</v>
      </c>
    </row>
    <row r="79" spans="1:9" x14ac:dyDescent="0.35">
      <c r="A79" s="1">
        <v>3</v>
      </c>
      <c r="B79" s="1">
        <v>1</v>
      </c>
      <c r="C79" s="1">
        <v>2</v>
      </c>
      <c r="D79" s="1" t="s">
        <v>36</v>
      </c>
      <c r="I79" t="str">
        <f t="shared" si="5"/>
        <v>INSERT INTO mydb.PlayerTeamLinkEntity (id, player_id, team_id, status) VALUES (4, 2, 2, 'active');</v>
      </c>
    </row>
    <row r="80" spans="1:9" x14ac:dyDescent="0.35">
      <c r="A80" s="1">
        <v>4</v>
      </c>
      <c r="B80" s="1">
        <v>2</v>
      </c>
      <c r="C80" s="1">
        <v>2</v>
      </c>
      <c r="D80" s="1" t="s">
        <v>19</v>
      </c>
      <c r="I80" t="str">
        <f t="shared" si="5"/>
        <v>INSERT INTO mydb.PlayerTeamLinkEntity (id, player_id, team_id, status) VALUES (5, 3, 2, 'active');</v>
      </c>
    </row>
    <row r="81" spans="1:9" x14ac:dyDescent="0.35">
      <c r="A81" s="1">
        <v>5</v>
      </c>
      <c r="B81" s="1">
        <v>3</v>
      </c>
      <c r="C81" s="1">
        <v>2</v>
      </c>
      <c r="D81" s="1" t="s">
        <v>19</v>
      </c>
      <c r="I81" t="str">
        <f t="shared" si="5"/>
        <v>INSERT INTO mydb.PlayerTeamLinkEntity (id, player_id, team_id, status) VALUES (6, 4, 2, 'inactive');</v>
      </c>
    </row>
    <row r="82" spans="1:9" x14ac:dyDescent="0.35">
      <c r="A82" s="1">
        <v>6</v>
      </c>
      <c r="B82" s="1">
        <v>4</v>
      </c>
      <c r="C82" s="1">
        <v>2</v>
      </c>
      <c r="D82" s="1" t="s">
        <v>36</v>
      </c>
      <c r="I82" t="str">
        <f t="shared" si="5"/>
        <v>INSERT INTO mydb.PlayerTeamLinkEntity (id, player_id, team_id, status) VALUES (7, 5, 2, 'deleted');</v>
      </c>
    </row>
    <row r="83" spans="1:9" x14ac:dyDescent="0.35">
      <c r="A83" s="1">
        <v>7</v>
      </c>
      <c r="B83" s="1">
        <v>5</v>
      </c>
      <c r="C83" s="1">
        <v>2</v>
      </c>
      <c r="D83" s="1" t="s">
        <v>65</v>
      </c>
      <c r="I83" t="str">
        <f t="shared" si="5"/>
        <v>INSERT INTO mydb.PlayerTeamLinkEntity (id, player_id, team_id, status) VALUES (8, 6, 3, 'active');</v>
      </c>
    </row>
    <row r="84" spans="1:9" x14ac:dyDescent="0.35">
      <c r="A84" s="1">
        <v>8</v>
      </c>
      <c r="B84" s="1">
        <v>6</v>
      </c>
      <c r="C84" s="1">
        <v>3</v>
      </c>
      <c r="D84" s="1" t="s">
        <v>19</v>
      </c>
      <c r="I84" t="str">
        <f t="shared" si="5"/>
        <v>INSERT INTO mydb.PlayerTeamLinkEntity (id, player_id, team_id, status) VALUES (9, 7, 3, 'active');</v>
      </c>
    </row>
    <row r="85" spans="1:9" x14ac:dyDescent="0.35">
      <c r="A85" s="1">
        <v>9</v>
      </c>
      <c r="B85" s="1">
        <v>7</v>
      </c>
      <c r="C85" s="1">
        <v>3</v>
      </c>
      <c r="D85" s="1" t="s">
        <v>19</v>
      </c>
      <c r="I85" t="str">
        <f t="shared" si="5"/>
        <v>INSERT INTO mydb.PlayerTeamLinkEntity (id, player_id, team_id, status) VALUES (10, 8, 4, 'active');</v>
      </c>
    </row>
    <row r="86" spans="1:9" x14ac:dyDescent="0.35">
      <c r="A86" s="1">
        <v>10</v>
      </c>
      <c r="B86" s="1">
        <v>8</v>
      </c>
      <c r="C86" s="1">
        <v>4</v>
      </c>
      <c r="D86" s="1" t="s">
        <v>19</v>
      </c>
      <c r="I86" t="str">
        <f t="shared" si="5"/>
        <v>INSERT INTO mydb.PlayerTeamLinkEntity (id, player_id, team_id, status) VALUES (11, 9, 5, 'deleted');</v>
      </c>
    </row>
    <row r="87" spans="1:9" x14ac:dyDescent="0.35">
      <c r="A87" s="1">
        <v>11</v>
      </c>
      <c r="B87" s="1">
        <v>9</v>
      </c>
      <c r="C87" s="1">
        <v>5</v>
      </c>
      <c r="D87" s="1" t="s">
        <v>65</v>
      </c>
      <c r="I87" t="str">
        <f t="shared" si="5"/>
        <v>INSERT INTO mydb.PlayerTeamLinkEntity (id, player_id, team_id, status) VALUES (12, 10, 6, 'deleted');</v>
      </c>
    </row>
    <row r="88" spans="1:9" x14ac:dyDescent="0.35">
      <c r="A88" s="1">
        <v>12</v>
      </c>
      <c r="B88" s="1">
        <v>10</v>
      </c>
      <c r="C88" s="1">
        <v>6</v>
      </c>
      <c r="D88" s="1" t="s">
        <v>65</v>
      </c>
      <c r="I88" t="str">
        <f t="shared" si="5"/>
        <v>INSERT INTO mydb.PlayerTeamLinkEntity (id, player_id, team_id, status) VALUES (13, 11, 1, 'inactive');</v>
      </c>
    </row>
    <row r="89" spans="1:9" x14ac:dyDescent="0.35">
      <c r="A89" s="1">
        <v>13</v>
      </c>
      <c r="B89" s="1">
        <v>11</v>
      </c>
      <c r="C89" s="1">
        <v>1</v>
      </c>
      <c r="D89" s="1" t="s">
        <v>36</v>
      </c>
    </row>
    <row r="90" spans="1:9" x14ac:dyDescent="0.35">
      <c r="A90" t="s">
        <v>7</v>
      </c>
    </row>
    <row r="91" spans="1:9" x14ac:dyDescent="0.35">
      <c r="A91" t="s">
        <v>0</v>
      </c>
      <c r="B91" t="s">
        <v>40</v>
      </c>
      <c r="C91" t="s">
        <v>42</v>
      </c>
      <c r="D91" t="s">
        <v>13</v>
      </c>
      <c r="I91" t="str">
        <f>"INSERT INTO "&amp;$I$1&amp;"."&amp;$A$90&amp;" ("&amp;$A$91&amp;", "&amp;$B$91&amp;", "&amp;$C$91&amp;", "&amp;$D$91&amp;") VALUES ("&amp;A92&amp;", "&amp;B92&amp;", "&amp;C92&amp;", '"&amp;D92&amp;"');"</f>
        <v>INSERT INTO mydb.PlayerMatchLinkEntity (id, player_id, match_id, status) VALUES (1, 1, 1, 'active');</v>
      </c>
    </row>
    <row r="92" spans="1:9" x14ac:dyDescent="0.35">
      <c r="A92" s="1">
        <v>1</v>
      </c>
      <c r="B92" s="1">
        <v>1</v>
      </c>
      <c r="C92" s="1">
        <v>1</v>
      </c>
      <c r="D92" s="1" t="s">
        <v>19</v>
      </c>
      <c r="I92" t="str">
        <f t="shared" ref="I92:I103" si="6">"INSERT INTO "&amp;$I$1&amp;"."&amp;$A$90&amp;" ("&amp;$A$91&amp;", "&amp;$B$91&amp;", "&amp;$C$91&amp;", "&amp;$D$91&amp;") VALUES ("&amp;A93&amp;", "&amp;B93&amp;", "&amp;C93&amp;", '"&amp;D93&amp;"');"</f>
        <v>INSERT INTO mydb.PlayerMatchLinkEntity (id, player_id, match_id, status) VALUES (2, 2, 1, 'active');</v>
      </c>
    </row>
    <row r="93" spans="1:9" x14ac:dyDescent="0.35">
      <c r="A93" s="1">
        <v>2</v>
      </c>
      <c r="B93" s="1">
        <v>2</v>
      </c>
      <c r="C93" s="1">
        <v>1</v>
      </c>
      <c r="D93" s="1" t="s">
        <v>19</v>
      </c>
      <c r="I93" t="str">
        <f t="shared" si="6"/>
        <v>INSERT INTO mydb.PlayerMatchLinkEntity (id, player_id, match_id, status) VALUES (3, 1, 2, 'cancelled');</v>
      </c>
    </row>
    <row r="94" spans="1:9" x14ac:dyDescent="0.35">
      <c r="A94" s="1">
        <v>3</v>
      </c>
      <c r="B94" s="1">
        <v>1</v>
      </c>
      <c r="C94" s="1">
        <v>2</v>
      </c>
      <c r="D94" s="1" t="s">
        <v>37</v>
      </c>
      <c r="I94" t="str">
        <f t="shared" si="6"/>
        <v>INSERT INTO mydb.PlayerMatchLinkEntity (id, player_id, match_id, status) VALUES (4, 2, 2, 'active');</v>
      </c>
    </row>
    <row r="95" spans="1:9" x14ac:dyDescent="0.35">
      <c r="A95" s="1">
        <v>4</v>
      </c>
      <c r="B95" s="1">
        <v>2</v>
      </c>
      <c r="C95" s="1">
        <v>2</v>
      </c>
      <c r="D95" s="1" t="s">
        <v>19</v>
      </c>
      <c r="I95" t="str">
        <f t="shared" si="6"/>
        <v>INSERT INTO mydb.PlayerMatchLinkEntity (id, player_id, match_id, status) VALUES (5, 3, 2, 'cancelled');</v>
      </c>
    </row>
    <row r="96" spans="1:9" x14ac:dyDescent="0.35">
      <c r="A96" s="1">
        <v>5</v>
      </c>
      <c r="B96" s="1">
        <v>3</v>
      </c>
      <c r="C96" s="1">
        <v>2</v>
      </c>
      <c r="D96" s="1" t="s">
        <v>37</v>
      </c>
      <c r="I96" t="str">
        <f t="shared" si="6"/>
        <v>INSERT INTO mydb.PlayerMatchLinkEntity (id, player_id, match_id, status) VALUES (6, 4, 2, 'cancelled');</v>
      </c>
    </row>
    <row r="97" spans="1:9" x14ac:dyDescent="0.35">
      <c r="A97" s="1">
        <v>6</v>
      </c>
      <c r="B97" s="1">
        <v>4</v>
      </c>
      <c r="C97" s="1">
        <v>2</v>
      </c>
      <c r="D97" s="1" t="s">
        <v>37</v>
      </c>
      <c r="I97" t="str">
        <f t="shared" si="6"/>
        <v>INSERT INTO mydb.PlayerMatchLinkEntity (id, player_id, match_id, status) VALUES (7, 1, 3, 'active');</v>
      </c>
    </row>
    <row r="98" spans="1:9" x14ac:dyDescent="0.35">
      <c r="A98" s="1">
        <v>7</v>
      </c>
      <c r="B98" s="1">
        <v>1</v>
      </c>
      <c r="C98" s="1">
        <v>3</v>
      </c>
      <c r="D98" s="1" t="s">
        <v>19</v>
      </c>
      <c r="I98" t="str">
        <f t="shared" si="6"/>
        <v>INSERT INTO mydb.PlayerMatchLinkEntity (id, player_id, match_id, status) VALUES (8, 2, 3, 'cancelled');</v>
      </c>
    </row>
    <row r="99" spans="1:9" x14ac:dyDescent="0.35">
      <c r="A99" s="1">
        <v>8</v>
      </c>
      <c r="B99" s="1">
        <v>2</v>
      </c>
      <c r="C99" s="1">
        <v>3</v>
      </c>
      <c r="D99" s="1" t="s">
        <v>37</v>
      </c>
      <c r="I99" t="str">
        <f t="shared" si="6"/>
        <v>INSERT INTO mydb.PlayerMatchLinkEntity (id, player_id, match_id, status) VALUES (9, 3, 3, 'active');</v>
      </c>
    </row>
    <row r="100" spans="1:9" x14ac:dyDescent="0.35">
      <c r="A100" s="1">
        <v>9</v>
      </c>
      <c r="B100" s="1">
        <v>3</v>
      </c>
      <c r="C100" s="1">
        <v>3</v>
      </c>
      <c r="D100" s="1" t="s">
        <v>19</v>
      </c>
      <c r="I100" t="str">
        <f t="shared" si="6"/>
        <v>INSERT INTO mydb.PlayerMatchLinkEntity (id, player_id, match_id, status) VALUES (10, 4, 4, 'cancelled');</v>
      </c>
    </row>
    <row r="101" spans="1:9" x14ac:dyDescent="0.35">
      <c r="A101" s="1">
        <v>10</v>
      </c>
      <c r="B101" s="1">
        <v>4</v>
      </c>
      <c r="C101" s="1">
        <v>4</v>
      </c>
      <c r="D101" s="1" t="s">
        <v>37</v>
      </c>
      <c r="I101" t="str">
        <f t="shared" si="6"/>
        <v>INSERT INTO mydb.PlayerMatchLinkEntity (id, player_id, match_id, status) VALUES (11, 5, 4, 'cancelled');</v>
      </c>
    </row>
    <row r="102" spans="1:9" x14ac:dyDescent="0.35">
      <c r="A102" s="1">
        <v>11</v>
      </c>
      <c r="B102" s="1">
        <v>5</v>
      </c>
      <c r="C102" s="1">
        <v>4</v>
      </c>
      <c r="D102" s="1" t="s">
        <v>37</v>
      </c>
      <c r="I102" t="str">
        <f t="shared" si="6"/>
        <v>INSERT INTO mydb.PlayerMatchLinkEntity (id, player_id, match_id, status) VALUES (12, 6, 4, 'cancelled');</v>
      </c>
    </row>
    <row r="103" spans="1:9" x14ac:dyDescent="0.35">
      <c r="A103" s="1">
        <v>12</v>
      </c>
      <c r="B103" s="1">
        <v>6</v>
      </c>
      <c r="C103" s="1">
        <v>4</v>
      </c>
      <c r="D103" s="1" t="s">
        <v>37</v>
      </c>
      <c r="I103" t="str">
        <f t="shared" si="6"/>
        <v>INSERT INTO mydb.PlayerMatchLinkEntity (id, player_id, match_id, status) VALUES (13, 7, 4, 'active');</v>
      </c>
    </row>
    <row r="104" spans="1:9" x14ac:dyDescent="0.35">
      <c r="A104" s="1">
        <v>13</v>
      </c>
      <c r="B104" s="1">
        <v>7</v>
      </c>
      <c r="C104" s="1">
        <v>4</v>
      </c>
      <c r="D104" s="1" t="s">
        <v>19</v>
      </c>
    </row>
    <row r="105" spans="1:9" x14ac:dyDescent="0.35">
      <c r="A105" t="s">
        <v>8</v>
      </c>
    </row>
    <row r="106" spans="1:9" x14ac:dyDescent="0.35">
      <c r="A106" t="s">
        <v>0</v>
      </c>
      <c r="B106" t="s">
        <v>41</v>
      </c>
      <c r="C106" t="s">
        <v>42</v>
      </c>
      <c r="D106" t="s">
        <v>13</v>
      </c>
      <c r="I106" t="str">
        <f>"INSERT INTO "&amp;$I$1&amp;"."&amp;$A$105&amp;" ("&amp;$A$106&amp;", "&amp;$B$106&amp;", "&amp;$C$106&amp;", "&amp;$D$106&amp;") VALUES ("&amp;A107&amp;", "&amp;B107&amp;", "&amp;C107&amp;", '"&amp;D107&amp;"');"</f>
        <v>INSERT INTO mydb.TeamMatchLinkEntity (id, team_id, match_id, status) VALUES (1, 1, 1, 'active');</v>
      </c>
    </row>
    <row r="107" spans="1:9" x14ac:dyDescent="0.35">
      <c r="A107" s="1">
        <v>1</v>
      </c>
      <c r="B107" s="1">
        <v>1</v>
      </c>
      <c r="C107" s="1">
        <v>1</v>
      </c>
      <c r="D107" s="1" t="s">
        <v>19</v>
      </c>
      <c r="I107" t="str">
        <f t="shared" ref="I107:I116" si="7">"INSERT INTO "&amp;$I$1&amp;"."&amp;$A$105&amp;" ("&amp;$A$106&amp;", "&amp;$B$106&amp;", "&amp;$C$106&amp;", "&amp;$D$106&amp;") VALUES ("&amp;A108&amp;", "&amp;B108&amp;", "&amp;C108&amp;", '"&amp;D108&amp;"');"</f>
        <v>INSERT INTO mydb.TeamMatchLinkEntity (id, team_id, match_id, status) VALUES (2, 2, 1, 'active');</v>
      </c>
    </row>
    <row r="108" spans="1:9" x14ac:dyDescent="0.35">
      <c r="A108" s="1">
        <v>2</v>
      </c>
      <c r="B108" s="1">
        <v>2</v>
      </c>
      <c r="C108" s="1">
        <v>1</v>
      </c>
      <c r="D108" s="1" t="s">
        <v>19</v>
      </c>
      <c r="I108" t="str">
        <f t="shared" si="7"/>
        <v>INSERT INTO mydb.TeamMatchLinkEntity (id, team_id, match_id, status) VALUES (3, 1, 2, 'cancelled');</v>
      </c>
    </row>
    <row r="109" spans="1:9" x14ac:dyDescent="0.35">
      <c r="A109" s="1">
        <v>3</v>
      </c>
      <c r="B109" s="1">
        <v>1</v>
      </c>
      <c r="C109" s="1">
        <v>2</v>
      </c>
      <c r="D109" s="1" t="s">
        <v>37</v>
      </c>
      <c r="I109" t="str">
        <f t="shared" si="7"/>
        <v>INSERT INTO mydb.TeamMatchLinkEntity (id, team_id, match_id, status) VALUES (4, 2, 2, 'active');</v>
      </c>
    </row>
    <row r="110" spans="1:9" x14ac:dyDescent="0.35">
      <c r="A110" s="1">
        <v>4</v>
      </c>
      <c r="B110" s="1">
        <v>2</v>
      </c>
      <c r="C110" s="1">
        <v>2</v>
      </c>
      <c r="D110" s="1" t="s">
        <v>19</v>
      </c>
      <c r="I110" t="str">
        <f t="shared" si="7"/>
        <v>INSERT INTO mydb.TeamMatchLinkEntity (id, team_id, match_id, status) VALUES (5, 3, 3, 'active');</v>
      </c>
    </row>
    <row r="111" spans="1:9" x14ac:dyDescent="0.35">
      <c r="A111" s="1">
        <v>5</v>
      </c>
      <c r="B111" s="1">
        <v>3</v>
      </c>
      <c r="C111" s="1">
        <v>3</v>
      </c>
      <c r="D111" s="1" t="s">
        <v>19</v>
      </c>
      <c r="I111" t="str">
        <f t="shared" si="7"/>
        <v>INSERT INTO mydb.TeamMatchLinkEntity (id, team_id, match_id, status) VALUES (6, 4, 4, 'cancelled');</v>
      </c>
    </row>
    <row r="112" spans="1:9" x14ac:dyDescent="0.35">
      <c r="A112" s="1">
        <v>6</v>
      </c>
      <c r="B112" s="1">
        <v>4</v>
      </c>
      <c r="C112" s="1">
        <v>4</v>
      </c>
      <c r="D112" s="1" t="s">
        <v>37</v>
      </c>
      <c r="I112" t="str">
        <f t="shared" si="7"/>
        <v>INSERT INTO mydb.TeamMatchLinkEntity (id, team_id, match_id, status) VALUES (7, 5, 3, 'active');</v>
      </c>
    </row>
    <row r="113" spans="1:9" x14ac:dyDescent="0.35">
      <c r="A113" s="1">
        <v>7</v>
      </c>
      <c r="B113" s="1">
        <v>5</v>
      </c>
      <c r="C113" s="1">
        <v>3</v>
      </c>
      <c r="D113" s="1" t="s">
        <v>19</v>
      </c>
      <c r="I113" t="str">
        <f t="shared" si="7"/>
        <v>INSERT INTO mydb.TeamMatchLinkEntity (id, team_id, match_id, status) VALUES (8, 6, 4, 'active');</v>
      </c>
    </row>
    <row r="114" spans="1:9" x14ac:dyDescent="0.35">
      <c r="A114" s="1">
        <v>8</v>
      </c>
      <c r="B114" s="1">
        <v>6</v>
      </c>
      <c r="C114" s="1">
        <v>4</v>
      </c>
      <c r="D114" s="1" t="s">
        <v>19</v>
      </c>
      <c r="I114" t="str">
        <f t="shared" si="7"/>
        <v>INSERT INTO mydb.TeamMatchLinkEntity (id, team_id, match_id, status) VALUES (9, 7, 5, 'active');</v>
      </c>
    </row>
    <row r="115" spans="1:9" x14ac:dyDescent="0.35">
      <c r="A115" s="1">
        <v>9</v>
      </c>
      <c r="B115" s="1">
        <v>7</v>
      </c>
      <c r="C115" s="1">
        <v>5</v>
      </c>
      <c r="D115" s="1" t="s">
        <v>19</v>
      </c>
      <c r="I115" t="str">
        <f t="shared" si="7"/>
        <v>INSERT INTO mydb.TeamMatchLinkEntity (id, team_id, match_id, status) VALUES (10, 8, 5, 'active');</v>
      </c>
    </row>
    <row r="116" spans="1:9" x14ac:dyDescent="0.35">
      <c r="A116" s="1">
        <v>10</v>
      </c>
      <c r="B116" s="1">
        <v>8</v>
      </c>
      <c r="C116" s="1">
        <v>5</v>
      </c>
      <c r="D116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Goodwill</dc:creator>
  <cp:lastModifiedBy>Connor Goodwill</cp:lastModifiedBy>
  <dcterms:created xsi:type="dcterms:W3CDTF">2024-12-20T11:15:15Z</dcterms:created>
  <dcterms:modified xsi:type="dcterms:W3CDTF">2024-12-20T12:26:40Z</dcterms:modified>
</cp:coreProperties>
</file>